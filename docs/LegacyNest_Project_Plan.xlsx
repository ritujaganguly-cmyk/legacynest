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stones" state="visible" r:id="rId4"/>
    <sheet sheetId="2" name="Tasks" state="visible" r:id="rId5"/>
    <sheet sheetId="3" name="Legend" state="visible" r:id="rId6"/>
  </sheets>
  <calcPr calcId="171027"/>
</workbook>
</file>

<file path=xl/sharedStrings.xml><?xml version="1.0" encoding="utf-8"?>
<sst xmlns="http://schemas.openxmlformats.org/spreadsheetml/2006/main" count="358" uniqueCount="166">
  <si>
    <t>Milestone</t>
  </si>
  <si>
    <t>Description</t>
  </si>
  <si>
    <t>Build estimate</t>
  </si>
  <si>
    <t>Tasks done %</t>
  </si>
  <si>
    <t>Target start</t>
  </si>
  <si>
    <t>Target launch</t>
  </si>
  <si>
    <t>Status</t>
  </si>
  <si>
    <t>Notes</t>
  </si>
  <si>
    <t>M0 — Repo clean-up</t>
  </si>
  <si>
    <t>Clean codebase &amp; GitHub; everything on Rituja; clean git status</t>
  </si>
  <si>
    <t>In progress</t>
  </si>
  <si>
    <t>Gate: all M1 work blocked until this is done</t>
  </si>
  <si>
    <t>M1 — MVP launch</t>
  </si>
  <si>
    <t>Existing full plan, stabilized &amp; legally launchable, free</t>
  </si>
  <si>
    <t>Internally ready ~25 Jul; folds into the 15 Aug public launch</t>
  </si>
  <si>
    <t>M2 — Full product</t>
  </si>
  <si>
    <t>M1 + freemium 10-minute emergency wedge</t>
  </si>
  <si>
    <t>Not started</t>
  </si>
  <si>
    <t>PUBLIC LAUNCH 15 Aug (Independence Day). Date-driven: cut scope, not the date</t>
  </si>
  <si>
    <t>M3 — Version 2</t>
  </si>
  <si>
    <t>Person/child/role redesign, multi-child, subscription infra</t>
  </si>
  <si>
    <t>Design locked</t>
  </si>
  <si>
    <t>Post-launch track; 8 phases; Razorpay deferred until pricing turns on</t>
  </si>
  <si>
    <t>Ref</t>
  </si>
  <si>
    <t>Task</t>
  </si>
  <si>
    <t>Detail</t>
  </si>
  <si>
    <t>Type</t>
  </si>
  <si>
    <t>Effort</t>
  </si>
  <si>
    <t>Launch gate</t>
  </si>
  <si>
    <t>15-Aug scope</t>
  </si>
  <si>
    <t>% Complete</t>
  </si>
  <si>
    <t>Owner</t>
  </si>
  <si>
    <t>Start date</t>
  </si>
  <si>
    <t>Due date</t>
  </si>
  <si>
    <t>Done date</t>
  </si>
  <si>
    <t>Depends on</t>
  </si>
  <si>
    <t>M0</t>
  </si>
  <si>
    <t>M0-1</t>
  </si>
  <si>
    <t>Relaunch Claude from GitProjectRituja</t>
  </si>
  <si>
    <t>Exit current session; relaunch from C:\LegacyNest\Git\GitProjectRituja\legacynest so cwd, preview &amp; scratchpad are all Rituja</t>
  </si>
  <si>
    <t>Ops</t>
  </si>
  <si>
    <t>S</t>
  </si>
  <si>
    <t>Yes</t>
  </si>
  <si>
    <t/>
  </si>
  <si>
    <t>M0-2</t>
  </si>
  <si>
    <t>Verify all commits belong to Rituja</t>
  </si>
  <si>
    <t>Confirm git log &amp; remote point to ritujaganguly-cmyk/legacynest only</t>
  </si>
  <si>
    <t>M0-3</t>
  </si>
  <si>
    <t>Remove remaining Ganguly80 hardcoded paths</t>
  </si>
  <si>
    <t>Scan &amp; fix any remaining GitProjectGanguly80 paths in source files</t>
  </si>
  <si>
    <t>Eng</t>
  </si>
  <si>
    <t>M0-4</t>
  </si>
  <si>
    <t>Run migrations 048-051 on live Supabase</t>
  </si>
  <si>
    <t>Apply all pending migrations; verify every module loads/saves live</t>
  </si>
  <si>
    <t>M1-1</t>
  </si>
  <si>
    <t>M0-5</t>
  </si>
  <si>
    <t>Commit or discard all dirty/generated files</t>
  </si>
  <si>
    <t>routeTree.gen.ts and any untracked files — clean git status</t>
  </si>
  <si>
    <t>M0-6</t>
  </si>
  <si>
    <t>Confirm clean build on Rituja</t>
  </si>
  <si>
    <t>npm run build succeeds with zero errors from GitProjectRituja</t>
  </si>
  <si>
    <t>QA</t>
  </si>
  <si>
    <t>M0-3,M0-5</t>
  </si>
  <si>
    <t>M1</t>
  </si>
  <si>
    <t>Apply pending migrations and confirm every module loads/saves live</t>
  </si>
  <si>
    <t>M1-2</t>
  </si>
  <si>
    <t>Full module QA pass</t>
  </si>
  <si>
    <t>Each section: create / edit / delete / reload verified live</t>
  </si>
  <si>
    <t>M</t>
  </si>
  <si>
    <t>M1-3</t>
  </si>
  <si>
    <t>Emergency reliability hardening</t>
  </si>
  <si>
    <t>No silent catches, idempotent activation, E2E checklist (REDESIGN_PLAN 13.1)</t>
  </si>
  <si>
    <t>M1-4</t>
  </si>
  <si>
    <t>Auth hardening</t>
  </si>
  <si>
    <t>Real signup + email verification; remove silent auto-provision</t>
  </si>
  <si>
    <t>M1-5</t>
  </si>
  <si>
    <t>Terms of Service + Privacy Policy pages</t>
  </si>
  <si>
    <t>DPDP / SPDI compliant public legal pages (start early - external turnaround)</t>
  </si>
  <si>
    <t>Legal</t>
  </si>
  <si>
    <t>M1-6</t>
  </si>
  <si>
    <t>Error monitoring</t>
  </si>
  <si>
    <t>Surface failures instead of silent safe() fallbacks; basic logging</t>
  </si>
  <si>
    <t>No</t>
  </si>
  <si>
    <t>M1-7</t>
  </si>
  <si>
    <t>Mobile / responsive pass</t>
  </si>
  <si>
    <t>Verify key flows on mobile viewport</t>
  </si>
  <si>
    <t>UI</t>
  </si>
  <si>
    <t>M1-8</t>
  </si>
  <si>
    <t>Confirm Supabase backups (PITR)</t>
  </si>
  <si>
    <t>Point-in-time recovery enabled before real user data lands</t>
  </si>
  <si>
    <t>M2</t>
  </si>
  <si>
    <t>M2-1</t>
  </si>
  <si>
    <t>Emergency page redesign - 4 break-glass blocks</t>
  </si>
  <si>
    <t>daily_care / medical / financial / legal blocks (REDESIGN_PLAN 5.1)</t>
  </si>
  <si>
    <t>Product</t>
  </si>
  <si>
    <t>M2-4</t>
  </si>
  <si>
    <t>Restructure landing</t>
  </si>
  <si>
    <t>Quick emergency path vs full plan</t>
  </si>
  <si>
    <t>M2-2</t>
  </si>
  <si>
    <t>10-minute free onboarding flow</t>
  </si>
  <si>
    <t>Dependent -&gt; 4 blocks -&gt; 1-2 coordinators -&gt; ready</t>
  </si>
  <si>
    <t>M2-3</t>
  </si>
  <si>
    <t>"You're ready" wallet card</t>
  </si>
  <si>
    <t>jspdf/html2canvas, minimal PII, QR -&gt; tokenized URL (first to cut if slipping)</t>
  </si>
  <si>
    <t>M2-5</t>
  </si>
  <si>
    <t>Free-flow time instrumentation</t>
  </si>
  <si>
    <t>Track time-to-complete; alert if &gt; 12-15 min (first to cut if slipping)</t>
  </si>
  <si>
    <t>M2-6</t>
  </si>
  <si>
    <t>Coordinator login-raise path</t>
  </si>
  <si>
    <t>In-app raise; depends on v2 role model</t>
  </si>
  <si>
    <t>Fast-follow</t>
  </si>
  <si>
    <t>Blocked</t>
  </si>
  <si>
    <t>V2-P1, V2-P3</t>
  </si>
  <si>
    <t>M3</t>
  </si>
  <si>
    <t>V2-P1</t>
  </si>
  <si>
    <t>Phase 1 - Additive schema</t>
  </si>
  <si>
    <t>child, child_member, subscription tables + backfill</t>
  </si>
  <si>
    <t>V2-P2</t>
  </si>
  <si>
    <t>Phase 2 - child_id on data tables</t>
  </si>
  <si>
    <t>Add child_id everywhere + backfill + dual-read</t>
  </si>
  <si>
    <t>V2-P3</t>
  </si>
  <si>
    <t>Phase 3 - Active-child app layer</t>
  </si>
  <si>
    <t>Context + header switcher; data-layer cutover (~80 calls)</t>
  </si>
  <si>
    <t>L</t>
  </si>
  <si>
    <t>V2-P4</t>
  </si>
  <si>
    <t>Phase 4 - Emergency tie-in + coordinator login</t>
  </si>
  <si>
    <t>Coordinator logged-in raise; break-glass wiring</t>
  </si>
  <si>
    <t>V2-P5</t>
  </si>
  <si>
    <t>Phase 5 - Caregiver/coordinator dashboards</t>
  </si>
  <si>
    <t>Logged-in helper dashboards (per-child cards)</t>
  </si>
  <si>
    <t>V2-P6</t>
  </si>
  <si>
    <t>Phase 6 - Subscription gating</t>
  </si>
  <si>
    <t>Entitlement flag (FREE_LAUNCH) + paywall UI</t>
  </si>
  <si>
    <t>V2-P7</t>
  </si>
  <si>
    <t>Phase 7 - RLS cutover</t>
  </si>
  <si>
    <t>Membership-based RLS; retire user_id UNIQUE</t>
  </si>
  <si>
    <t>V2-P8</t>
  </si>
  <si>
    <t>Phase 8 - Razorpay integration</t>
  </si>
  <si>
    <t>Payments + webhooks; only when pricing turns on</t>
  </si>
  <si>
    <t>Key</t>
  </si>
  <si>
    <t>Meaning</t>
  </si>
  <si>
    <t>10 Jul gate: clean codebase, all commits on Rituja, migrations live, clean git status. Blocks M1.</t>
  </si>
  <si>
    <t>KEY DATE — 15 Aug 2026</t>
  </si>
  <si>
    <t>Public launch (Independence Day) = M1 + the M2 free emergency wedge. Date-driven: cut scope, not the date.</t>
  </si>
  <si>
    <t>15-Aug scope = Yes</t>
  </si>
  <si>
    <t>Must ship for the 15 Aug launch</t>
  </si>
  <si>
    <t>15-Aug scope = Fast-follow</t>
  </si>
  <si>
    <t>Ships shortly after launch</t>
  </si>
  <si>
    <t>15-Aug scope = No</t>
  </si>
  <si>
    <t>Post-launch (Version 2, Sep-Oct)</t>
  </si>
  <si>
    <t>Effort — S / M / L / XL</t>
  </si>
  <si>
    <t>Small (hrs-1 day) / Medium (days) / Large (1-2 wks) / Extra large (multi-week)</t>
  </si>
  <si>
    <t>Not started / In progress / Blocked / Done</t>
  </si>
  <si>
    <t>Launch gate = Yes</t>
  </si>
  <si>
    <t>Hard gate — must be done before any public launch</t>
  </si>
  <si>
    <t>Existing full plan, stabilized &amp; legally launchable (free); internally ready ~25 Jul</t>
  </si>
  <si>
    <t>M1 + the freemium 10-minute emergency wedge; public launch 15 Aug</t>
  </si>
  <si>
    <t>Person/child/role redesign, multi-child, subscription infra; ~late Oct</t>
  </si>
  <si>
    <t>Overdue rows</t>
  </si>
  <si>
    <t>A Due date in the past with Status not Done is highlighted red</t>
  </si>
  <si>
    <t>Source of truth</t>
  </si>
  <si>
    <t>docs/PROJECT_PLAN.md and docs/REDESIGN_PLAN.md</t>
  </si>
  <si>
    <t>Pricing</t>
  </si>
  <si>
    <t>Free at launch behind the FREE_LAUNCH flag; the eventual subscription price is the only undecided item</t>
  </si>
  <si>
    <t>Pace assumption</t>
  </si>
  <si>
    <t>Dates assume part-time solo + AI. Full-time ~halves the calendar; weekends-only ~1.5-2x.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</si>
</sst>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color rgb="FF0000FF"/>
      <sz val="10"/>
      <name val="Arial"/>
    </font>
    <font>
      <b/>
      <color rgb="FFC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A372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9" fontId="4" fillId="3" borderId="0" xfId="0" applyNumberFormat="1" applyFont="1" applyFill="1" applyAlignment="1">
      <alignment vertical="top" wrapText="1"/>
    </xf>
    <xf numFmtId="9" fontId="0" fillId="3" borderId="0" xfId="0" applyNumberFormat="1" applyFill="1"/>
    <xf numFmtId="164" fontId="3" fillId="3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9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5" fillId="3" borderId="0" xfId="0" applyFont="1" applyFill="1"/>
    <xf numFmtId="0" fontId="3" fillId="3" borderId="0" xfId="0" applyFont="1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9C0006"/>
        <sz val="10"/>
        <name val="Arial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8" customWidth="1"/>
    <col min="3" max="3" width="15" customWidth="1"/>
    <col min="4" max="6" width="14" customWidth="1"/>
    <col min="7" max="7" width="16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customHeight="1" spans="1:8" x14ac:dyDescent="0.25">
      <c r="A2" s="2" t="s">
        <v>8</v>
      </c>
      <c r="B2" s="3" t="s">
        <v>9</v>
      </c>
      <c r="C2" s="4">
        <v>0.2</v>
      </c>
      <c r="D2" s="5">
        <f>AVERAGEIF(Tasks!$A$2:$A$29,"M0",Tasks!$J$2:$J$29)</f>
        <v>0.08</v>
      </c>
      <c r="E2" s="6">
        <v>46203</v>
      </c>
      <c r="F2" s="6">
        <v>46213</v>
      </c>
      <c r="G2" s="3" t="s">
        <v>10</v>
      </c>
      <c r="H2" s="3" t="s">
        <v>11</v>
      </c>
    </row>
    <row r="3" ht="34" customHeight="1" spans="1:8" x14ac:dyDescent="0.25">
      <c r="A3" s="7" t="s">
        <v>12</v>
      </c>
      <c r="B3" s="8" t="s">
        <v>13</v>
      </c>
      <c r="C3" s="9">
        <v>0.7</v>
      </c>
      <c r="D3" s="10">
        <f>AVERAGEIF(Tasks!$A$2:$A$29,"M1",Tasks!$J$2:$J$29)</f>
        <v>0.05</v>
      </c>
      <c r="E3" s="11">
        <v>46203</v>
      </c>
      <c r="F3" s="11">
        <v>46228</v>
      </c>
      <c r="G3" s="8" t="s">
        <v>10</v>
      </c>
      <c r="H3" s="8" t="s">
        <v>14</v>
      </c>
    </row>
    <row r="4" ht="34" customHeight="1" spans="1:8" x14ac:dyDescent="0.25">
      <c r="A4" s="7" t="s">
        <v>15</v>
      </c>
      <c r="B4" s="8" t="s">
        <v>16</v>
      </c>
      <c r="C4" s="9">
        <v>0.35</v>
      </c>
      <c r="D4" s="10">
        <f>AVERAGEIF(Tasks!$A$2:$A$29,"M2",Tasks!$J$2:$J$29)</f>
        <v>0</v>
      </c>
      <c r="E4" s="11">
        <v>46231</v>
      </c>
      <c r="F4" s="11">
        <v>46249</v>
      </c>
      <c r="G4" s="8" t="s">
        <v>17</v>
      </c>
      <c r="H4" s="8" t="s">
        <v>18</v>
      </c>
    </row>
    <row r="5" ht="34" customHeight="1" spans="1:8" x14ac:dyDescent="0.25">
      <c r="A5" s="7" t="s">
        <v>19</v>
      </c>
      <c r="B5" s="8" t="s">
        <v>20</v>
      </c>
      <c r="C5" s="9">
        <v>0.1</v>
      </c>
      <c r="D5" s="10">
        <f>AVERAGEIF(Tasks!$A$2:$A$29,"M3",Tasks!$J$2:$J$29)</f>
        <v>0</v>
      </c>
      <c r="E5" s="11">
        <v>46266</v>
      </c>
      <c r="F5" s="11">
        <v>46319</v>
      </c>
      <c r="G5" s="8" t="s">
        <v>21</v>
      </c>
      <c r="H5" s="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32" customWidth="1"/>
    <col min="4" max="4" width="46" customWidth="1"/>
    <col min="5" max="5" width="10" customWidth="1"/>
    <col min="6" max="6" width="8" customWidth="1"/>
    <col min="7" max="7" width="11" customWidth="1"/>
    <col min="8" max="8" width="13" customWidth="1"/>
    <col min="9" max="9" width="14" customWidth="1"/>
    <col min="10" max="10" width="11" customWidth="1"/>
    <col min="11" max="11" width="12" customWidth="1"/>
    <col min="12" max="14" width="13" customWidth="1"/>
    <col min="15" max="15" width="15" customWidth="1"/>
    <col min="16" max="16" width="36" customWidth="1"/>
  </cols>
  <sheetData>
    <row r="1" ht="28" customHeight="1" spans="1:16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6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7</v>
      </c>
    </row>
    <row r="2" ht="30" customHeight="1" spans="1:15" x14ac:dyDescent="0.25">
      <c r="A2" s="2" t="s">
        <v>36</v>
      </c>
      <c r="B2" s="7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12" t="s">
        <v>42</v>
      </c>
      <c r="I2" s="8" t="s">
        <v>17</v>
      </c>
      <c r="J2" s="10">
        <v>0</v>
      </c>
      <c r="K2" s="8"/>
      <c r="L2" s="11">
        <v>46213</v>
      </c>
      <c r="M2" s="11"/>
      <c r="N2" s="11" t="s">
        <v>43</v>
      </c>
      <c r="O2" s="8" t="s">
        <v>43</v>
      </c>
    </row>
    <row r="3" ht="30" customHeight="1" spans="1:15" x14ac:dyDescent="0.25">
      <c r="A3" s="2" t="s">
        <v>36</v>
      </c>
      <c r="B3" s="7" t="s">
        <v>44</v>
      </c>
      <c r="C3" s="8" t="s">
        <v>45</v>
      </c>
      <c r="D3" s="8" t="s">
        <v>46</v>
      </c>
      <c r="E3" s="8" t="s">
        <v>40</v>
      </c>
      <c r="F3" s="8" t="s">
        <v>41</v>
      </c>
      <c r="G3" s="8" t="s">
        <v>42</v>
      </c>
      <c r="H3" s="12" t="s">
        <v>42</v>
      </c>
      <c r="I3" s="8" t="s">
        <v>17</v>
      </c>
      <c r="J3" s="10">
        <v>0</v>
      </c>
      <c r="K3" s="13">
        <v>46203</v>
      </c>
      <c r="L3" s="11">
        <v>46213</v>
      </c>
      <c r="M3" s="11"/>
      <c r="N3" s="11" t="s">
        <v>43</v>
      </c>
      <c r="O3" s="8" t="s">
        <v>43</v>
      </c>
    </row>
    <row r="4" ht="30" customHeight="1" spans="1:15" x14ac:dyDescent="0.25">
      <c r="A4" s="2" t="s">
        <v>36</v>
      </c>
      <c r="B4" s="7" t="s">
        <v>47</v>
      </c>
      <c r="C4" s="8" t="s">
        <v>48</v>
      </c>
      <c r="D4" s="8" t="s">
        <v>49</v>
      </c>
      <c r="E4" s="8" t="s">
        <v>50</v>
      </c>
      <c r="F4" s="8" t="s">
        <v>41</v>
      </c>
      <c r="G4" s="8" t="s">
        <v>42</v>
      </c>
      <c r="H4" s="12" t="s">
        <v>42</v>
      </c>
      <c r="I4" s="8" t="s">
        <v>10</v>
      </c>
      <c r="J4" s="10">
        <v>0.5</v>
      </c>
      <c r="K4" s="13">
        <v>46203</v>
      </c>
      <c r="L4" s="11">
        <v>46213</v>
      </c>
      <c r="M4" s="11"/>
      <c r="N4" s="11" t="s">
        <v>43</v>
      </c>
      <c r="O4" s="8" t="s">
        <v>43</v>
      </c>
    </row>
    <row r="5" ht="30" customHeight="1" spans="1:15" x14ac:dyDescent="0.25">
      <c r="A5" s="2" t="s">
        <v>36</v>
      </c>
      <c r="B5" s="7" t="s">
        <v>51</v>
      </c>
      <c r="C5" s="8" t="s">
        <v>52</v>
      </c>
      <c r="D5" s="8" t="s">
        <v>53</v>
      </c>
      <c r="E5" s="8" t="s">
        <v>40</v>
      </c>
      <c r="F5" s="8" t="s">
        <v>41</v>
      </c>
      <c r="G5" s="8" t="s">
        <v>42</v>
      </c>
      <c r="H5" s="12" t="s">
        <v>42</v>
      </c>
      <c r="I5" s="8" t="s">
        <v>17</v>
      </c>
      <c r="J5" s="10">
        <v>0</v>
      </c>
      <c r="K5" s="13">
        <v>46203</v>
      </c>
      <c r="L5" s="11">
        <v>46213</v>
      </c>
      <c r="M5" s="11"/>
      <c r="N5" s="11" t="s">
        <v>54</v>
      </c>
      <c r="O5" s="8" t="s">
        <v>43</v>
      </c>
    </row>
    <row r="6" ht="30" customHeight="1" spans="1:15" x14ac:dyDescent="0.25">
      <c r="A6" s="2" t="s">
        <v>36</v>
      </c>
      <c r="B6" s="7" t="s">
        <v>55</v>
      </c>
      <c r="C6" s="8" t="s">
        <v>56</v>
      </c>
      <c r="D6" s="8" t="s">
        <v>57</v>
      </c>
      <c r="E6" s="8" t="s">
        <v>40</v>
      </c>
      <c r="F6" s="8" t="s">
        <v>41</v>
      </c>
      <c r="G6" s="8" t="s">
        <v>42</v>
      </c>
      <c r="H6" s="12" t="s">
        <v>42</v>
      </c>
      <c r="I6" s="8" t="s">
        <v>17</v>
      </c>
      <c r="J6" s="10">
        <v>0</v>
      </c>
      <c r="K6" s="13">
        <v>46203</v>
      </c>
      <c r="L6" s="11">
        <v>46213</v>
      </c>
      <c r="M6" s="11"/>
      <c r="N6" s="11" t="s">
        <v>43</v>
      </c>
      <c r="O6" s="8" t="s">
        <v>43</v>
      </c>
    </row>
    <row r="7" ht="30" customHeight="1" spans="1:15" x14ac:dyDescent="0.25">
      <c r="A7" s="2" t="s">
        <v>36</v>
      </c>
      <c r="B7" s="7" t="s">
        <v>58</v>
      </c>
      <c r="C7" s="8" t="s">
        <v>59</v>
      </c>
      <c r="D7" s="8" t="s">
        <v>60</v>
      </c>
      <c r="E7" s="8" t="s">
        <v>61</v>
      </c>
      <c r="F7" s="8" t="s">
        <v>41</v>
      </c>
      <c r="G7" s="8" t="s">
        <v>42</v>
      </c>
      <c r="H7" s="12" t="s">
        <v>42</v>
      </c>
      <c r="I7" s="8" t="s">
        <v>17</v>
      </c>
      <c r="J7" s="10">
        <v>0</v>
      </c>
      <c r="K7" s="13">
        <v>46211</v>
      </c>
      <c r="L7" s="11">
        <v>46213</v>
      </c>
      <c r="M7" s="11"/>
      <c r="N7" s="11" t="s">
        <v>62</v>
      </c>
      <c r="O7" s="8" t="s">
        <v>43</v>
      </c>
    </row>
    <row r="8" ht="30" customHeight="1" spans="1:16" x14ac:dyDescent="0.25">
      <c r="A8" s="8" t="s">
        <v>63</v>
      </c>
      <c r="B8" s="7" t="s">
        <v>54</v>
      </c>
      <c r="C8" s="8" t="s">
        <v>52</v>
      </c>
      <c r="D8" s="8" t="s">
        <v>64</v>
      </c>
      <c r="E8" s="8" t="s">
        <v>40</v>
      </c>
      <c r="F8" s="8" t="s">
        <v>41</v>
      </c>
      <c r="G8" s="8" t="s">
        <v>42</v>
      </c>
      <c r="H8" s="12" t="s">
        <v>42</v>
      </c>
      <c r="I8" s="8" t="s">
        <v>10</v>
      </c>
      <c r="J8" s="10">
        <v>0.4</v>
      </c>
      <c r="K8" s="8"/>
      <c r="L8" s="11">
        <v>46203</v>
      </c>
      <c r="M8" s="11">
        <v>46205</v>
      </c>
      <c r="N8" s="11"/>
      <c r="O8" s="8" t="s">
        <v>43</v>
      </c>
      <c r="P8" s="8"/>
    </row>
    <row r="9" ht="30" customHeight="1" spans="1:16" x14ac:dyDescent="0.25">
      <c r="A9" s="8" t="s">
        <v>63</v>
      </c>
      <c r="B9" s="7" t="s">
        <v>65</v>
      </c>
      <c r="C9" s="8" t="s">
        <v>66</v>
      </c>
      <c r="D9" s="8" t="s">
        <v>67</v>
      </c>
      <c r="E9" s="8" t="s">
        <v>61</v>
      </c>
      <c r="F9" s="8" t="s">
        <v>68</v>
      </c>
      <c r="G9" s="8" t="s">
        <v>42</v>
      </c>
      <c r="H9" s="12" t="s">
        <v>42</v>
      </c>
      <c r="I9" s="8" t="s">
        <v>17</v>
      </c>
      <c r="J9" s="10">
        <v>0</v>
      </c>
      <c r="K9" s="8"/>
      <c r="L9" s="11">
        <v>46204</v>
      </c>
      <c r="M9" s="11">
        <v>46212</v>
      </c>
      <c r="N9" s="11"/>
      <c r="O9" s="8" t="s">
        <v>43</v>
      </c>
      <c r="P9" s="8"/>
    </row>
    <row r="10" ht="30" customHeight="1" spans="1:16" x14ac:dyDescent="0.25">
      <c r="A10" s="8" t="s">
        <v>63</v>
      </c>
      <c r="B10" s="7" t="s">
        <v>69</v>
      </c>
      <c r="C10" s="8" t="s">
        <v>70</v>
      </c>
      <c r="D10" s="8" t="s">
        <v>71</v>
      </c>
      <c r="E10" s="8" t="s">
        <v>50</v>
      </c>
      <c r="F10" s="8" t="s">
        <v>68</v>
      </c>
      <c r="G10" s="8" t="s">
        <v>42</v>
      </c>
      <c r="H10" s="12" t="s">
        <v>42</v>
      </c>
      <c r="I10" s="8" t="s">
        <v>17</v>
      </c>
      <c r="J10" s="10">
        <v>0</v>
      </c>
      <c r="K10" s="8"/>
      <c r="L10" s="11">
        <v>46210</v>
      </c>
      <c r="M10" s="11">
        <v>46214</v>
      </c>
      <c r="N10" s="11"/>
      <c r="O10" s="8" t="s">
        <v>54</v>
      </c>
      <c r="P10" s="8"/>
    </row>
    <row r="11" ht="30" customHeight="1" spans="1:16" x14ac:dyDescent="0.25">
      <c r="A11" s="8" t="s">
        <v>63</v>
      </c>
      <c r="B11" s="7" t="s">
        <v>72</v>
      </c>
      <c r="C11" s="8" t="s">
        <v>73</v>
      </c>
      <c r="D11" s="8" t="s">
        <v>74</v>
      </c>
      <c r="E11" s="8" t="s">
        <v>50</v>
      </c>
      <c r="F11" s="8" t="s">
        <v>68</v>
      </c>
      <c r="G11" s="8" t="s">
        <v>42</v>
      </c>
      <c r="H11" s="12" t="s">
        <v>42</v>
      </c>
      <c r="I11" s="8" t="s">
        <v>17</v>
      </c>
      <c r="J11" s="10">
        <v>0</v>
      </c>
      <c r="K11" s="8"/>
      <c r="L11" s="11">
        <v>46217</v>
      </c>
      <c r="M11" s="11">
        <v>46221</v>
      </c>
      <c r="N11" s="11"/>
      <c r="O11" s="8" t="s">
        <v>43</v>
      </c>
      <c r="P11" s="8"/>
    </row>
    <row r="12" ht="30" customHeight="1" spans="1:16" x14ac:dyDescent="0.25">
      <c r="A12" s="8" t="s">
        <v>63</v>
      </c>
      <c r="B12" s="7" t="s">
        <v>75</v>
      </c>
      <c r="C12" s="8" t="s">
        <v>76</v>
      </c>
      <c r="D12" s="8" t="s">
        <v>77</v>
      </c>
      <c r="E12" s="8" t="s">
        <v>78</v>
      </c>
      <c r="F12" s="8" t="s">
        <v>41</v>
      </c>
      <c r="G12" s="8" t="s">
        <v>42</v>
      </c>
      <c r="H12" s="12" t="s">
        <v>42</v>
      </c>
      <c r="I12" s="8" t="s">
        <v>17</v>
      </c>
      <c r="J12" s="10">
        <v>0</v>
      </c>
      <c r="K12" s="8"/>
      <c r="L12" s="11">
        <v>46203</v>
      </c>
      <c r="M12" s="11">
        <v>46221</v>
      </c>
      <c r="N12" s="11"/>
      <c r="O12" s="8" t="s">
        <v>43</v>
      </c>
      <c r="P12" s="8"/>
    </row>
    <row r="13" ht="30" customHeight="1" spans="1:16" x14ac:dyDescent="0.25">
      <c r="A13" s="8" t="s">
        <v>63</v>
      </c>
      <c r="B13" s="7" t="s">
        <v>79</v>
      </c>
      <c r="C13" s="8" t="s">
        <v>80</v>
      </c>
      <c r="D13" s="8" t="s">
        <v>81</v>
      </c>
      <c r="E13" s="8" t="s">
        <v>50</v>
      </c>
      <c r="F13" s="8" t="s">
        <v>41</v>
      </c>
      <c r="G13" s="8" t="s">
        <v>82</v>
      </c>
      <c r="H13" s="12" t="s">
        <v>42</v>
      </c>
      <c r="I13" s="8" t="s">
        <v>17</v>
      </c>
      <c r="J13" s="10">
        <v>0</v>
      </c>
      <c r="K13" s="8"/>
      <c r="L13" s="11">
        <v>46224</v>
      </c>
      <c r="M13" s="11">
        <v>46225</v>
      </c>
      <c r="N13" s="11"/>
      <c r="O13" s="8" t="s">
        <v>43</v>
      </c>
      <c r="P13" s="8"/>
    </row>
    <row r="14" ht="30" customHeight="1" spans="1:16" x14ac:dyDescent="0.25">
      <c r="A14" s="8" t="s">
        <v>63</v>
      </c>
      <c r="B14" s="7" t="s">
        <v>83</v>
      </c>
      <c r="C14" s="8" t="s">
        <v>84</v>
      </c>
      <c r="D14" s="8" t="s">
        <v>85</v>
      </c>
      <c r="E14" s="8" t="s">
        <v>86</v>
      </c>
      <c r="F14" s="8" t="s">
        <v>41</v>
      </c>
      <c r="G14" s="8" t="s">
        <v>82</v>
      </c>
      <c r="H14" s="12" t="s">
        <v>42</v>
      </c>
      <c r="I14" s="8" t="s">
        <v>17</v>
      </c>
      <c r="J14" s="10">
        <v>0</v>
      </c>
      <c r="K14" s="8"/>
      <c r="L14" s="11">
        <v>46226</v>
      </c>
      <c r="M14" s="11">
        <v>46228</v>
      </c>
      <c r="N14" s="11"/>
      <c r="O14" s="8" t="s">
        <v>43</v>
      </c>
      <c r="P14" s="8"/>
    </row>
    <row r="15" ht="30" customHeight="1" spans="1:16" x14ac:dyDescent="0.25">
      <c r="A15" s="8" t="s">
        <v>63</v>
      </c>
      <c r="B15" s="7" t="s">
        <v>87</v>
      </c>
      <c r="C15" s="8" t="s">
        <v>88</v>
      </c>
      <c r="D15" s="8" t="s">
        <v>89</v>
      </c>
      <c r="E15" s="8" t="s">
        <v>40</v>
      </c>
      <c r="F15" s="8" t="s">
        <v>41</v>
      </c>
      <c r="G15" s="8" t="s">
        <v>42</v>
      </c>
      <c r="H15" s="12" t="s">
        <v>42</v>
      </c>
      <c r="I15" s="8" t="s">
        <v>17</v>
      </c>
      <c r="J15" s="10">
        <v>0</v>
      </c>
      <c r="K15" s="8"/>
      <c r="L15" s="11">
        <v>46203</v>
      </c>
      <c r="M15" s="11">
        <v>46204</v>
      </c>
      <c r="N15" s="11"/>
      <c r="O15" s="8" t="s">
        <v>43</v>
      </c>
      <c r="P15" s="8"/>
    </row>
    <row r="16" ht="30" customHeight="1" spans="1:16" x14ac:dyDescent="0.25">
      <c r="A16" s="8" t="s">
        <v>90</v>
      </c>
      <c r="B16" s="7" t="s">
        <v>91</v>
      </c>
      <c r="C16" s="8" t="s">
        <v>92</v>
      </c>
      <c r="D16" s="8" t="s">
        <v>93</v>
      </c>
      <c r="E16" s="8" t="s">
        <v>94</v>
      </c>
      <c r="F16" s="8" t="s">
        <v>68</v>
      </c>
      <c r="G16" s="8" t="s">
        <v>82</v>
      </c>
      <c r="H16" s="12" t="s">
        <v>42</v>
      </c>
      <c r="I16" s="8" t="s">
        <v>17</v>
      </c>
      <c r="J16" s="10">
        <v>0</v>
      </c>
      <c r="K16" s="8"/>
      <c r="L16" s="11">
        <v>46231</v>
      </c>
      <c r="M16" s="11">
        <v>46235</v>
      </c>
      <c r="N16" s="11"/>
      <c r="O16" s="8" t="s">
        <v>43</v>
      </c>
      <c r="P16" s="8"/>
    </row>
    <row r="17" ht="30" customHeight="1" spans="1:16" x14ac:dyDescent="0.25">
      <c r="A17" s="8" t="s">
        <v>90</v>
      </c>
      <c r="B17" s="7" t="s">
        <v>95</v>
      </c>
      <c r="C17" s="8" t="s">
        <v>96</v>
      </c>
      <c r="D17" s="8" t="s">
        <v>97</v>
      </c>
      <c r="E17" s="8" t="s">
        <v>86</v>
      </c>
      <c r="F17" s="8" t="s">
        <v>41</v>
      </c>
      <c r="G17" s="8" t="s">
        <v>82</v>
      </c>
      <c r="H17" s="12" t="s">
        <v>42</v>
      </c>
      <c r="I17" s="8" t="s">
        <v>17</v>
      </c>
      <c r="J17" s="10">
        <v>0</v>
      </c>
      <c r="K17" s="8"/>
      <c r="L17" s="11">
        <v>46231</v>
      </c>
      <c r="M17" s="11">
        <v>46233</v>
      </c>
      <c r="N17" s="11"/>
      <c r="O17" s="8" t="s">
        <v>43</v>
      </c>
      <c r="P17" s="8"/>
    </row>
    <row r="18" ht="30" customHeight="1" spans="1:16" x14ac:dyDescent="0.25">
      <c r="A18" s="8" t="s">
        <v>90</v>
      </c>
      <c r="B18" s="7" t="s">
        <v>98</v>
      </c>
      <c r="C18" s="8" t="s">
        <v>99</v>
      </c>
      <c r="D18" s="8" t="s">
        <v>100</v>
      </c>
      <c r="E18" s="8" t="s">
        <v>94</v>
      </c>
      <c r="F18" s="8" t="s">
        <v>68</v>
      </c>
      <c r="G18" s="8" t="s">
        <v>82</v>
      </c>
      <c r="H18" s="12" t="s">
        <v>42</v>
      </c>
      <c r="I18" s="8" t="s">
        <v>17</v>
      </c>
      <c r="J18" s="10">
        <v>0</v>
      </c>
      <c r="K18" s="8"/>
      <c r="L18" s="11">
        <v>46238</v>
      </c>
      <c r="M18" s="11">
        <v>46242</v>
      </c>
      <c r="N18" s="11"/>
      <c r="O18" s="8" t="s">
        <v>43</v>
      </c>
      <c r="P18" s="8"/>
    </row>
    <row r="19" ht="30" customHeight="1" spans="1:16" x14ac:dyDescent="0.25">
      <c r="A19" s="8" t="s">
        <v>90</v>
      </c>
      <c r="B19" s="7" t="s">
        <v>101</v>
      </c>
      <c r="C19" s="8" t="s">
        <v>102</v>
      </c>
      <c r="D19" s="8" t="s">
        <v>103</v>
      </c>
      <c r="E19" s="8" t="s">
        <v>94</v>
      </c>
      <c r="F19" s="8" t="s">
        <v>68</v>
      </c>
      <c r="G19" s="8" t="s">
        <v>82</v>
      </c>
      <c r="H19" s="12" t="s">
        <v>42</v>
      </c>
      <c r="I19" s="8" t="s">
        <v>17</v>
      </c>
      <c r="J19" s="10">
        <v>0</v>
      </c>
      <c r="K19" s="8"/>
      <c r="L19" s="11">
        <v>46241</v>
      </c>
      <c r="M19" s="11">
        <v>46245</v>
      </c>
      <c r="N19" s="11"/>
      <c r="O19" s="8" t="s">
        <v>43</v>
      </c>
      <c r="P19" s="8"/>
    </row>
    <row r="20" ht="30" customHeight="1" spans="1:16" x14ac:dyDescent="0.25">
      <c r="A20" s="8" t="s">
        <v>90</v>
      </c>
      <c r="B20" s="7" t="s">
        <v>104</v>
      </c>
      <c r="C20" s="8" t="s">
        <v>105</v>
      </c>
      <c r="D20" s="8" t="s">
        <v>106</v>
      </c>
      <c r="E20" s="8" t="s">
        <v>50</v>
      </c>
      <c r="F20" s="8" t="s">
        <v>41</v>
      </c>
      <c r="G20" s="8" t="s">
        <v>82</v>
      </c>
      <c r="H20" s="12" t="s">
        <v>42</v>
      </c>
      <c r="I20" s="8" t="s">
        <v>17</v>
      </c>
      <c r="J20" s="10">
        <v>0</v>
      </c>
      <c r="K20" s="8"/>
      <c r="L20" s="11">
        <v>46245</v>
      </c>
      <c r="M20" s="11">
        <v>46246</v>
      </c>
      <c r="N20" s="11"/>
      <c r="O20" s="8" t="s">
        <v>43</v>
      </c>
      <c r="P20" s="8"/>
    </row>
    <row r="21" ht="30" customHeight="1" spans="1:16" x14ac:dyDescent="0.25">
      <c r="A21" s="8" t="s">
        <v>90</v>
      </c>
      <c r="B21" s="7" t="s">
        <v>107</v>
      </c>
      <c r="C21" s="8" t="s">
        <v>108</v>
      </c>
      <c r="D21" s="8" t="s">
        <v>109</v>
      </c>
      <c r="E21" s="8" t="s">
        <v>50</v>
      </c>
      <c r="F21" s="8" t="s">
        <v>68</v>
      </c>
      <c r="G21" s="8" t="s">
        <v>82</v>
      </c>
      <c r="H21" s="8" t="s">
        <v>110</v>
      </c>
      <c r="I21" s="8" t="s">
        <v>111</v>
      </c>
      <c r="J21" s="10">
        <v>0</v>
      </c>
      <c r="K21" s="8"/>
      <c r="L21" s="11"/>
      <c r="M21" s="11"/>
      <c r="N21" s="11"/>
      <c r="O21" s="8" t="s">
        <v>112</v>
      </c>
      <c r="P21" s="8"/>
    </row>
    <row r="22" ht="30" customHeight="1" spans="1:16" x14ac:dyDescent="0.25">
      <c r="A22" s="8" t="s">
        <v>113</v>
      </c>
      <c r="B22" s="7" t="s">
        <v>114</v>
      </c>
      <c r="C22" s="8" t="s">
        <v>115</v>
      </c>
      <c r="D22" s="8" t="s">
        <v>116</v>
      </c>
      <c r="E22" s="8" t="s">
        <v>50</v>
      </c>
      <c r="F22" s="8" t="s">
        <v>68</v>
      </c>
      <c r="G22" s="8" t="s">
        <v>82</v>
      </c>
      <c r="H22" s="8" t="s">
        <v>82</v>
      </c>
      <c r="I22" s="8" t="s">
        <v>17</v>
      </c>
      <c r="J22" s="10">
        <v>0</v>
      </c>
      <c r="K22" s="8"/>
      <c r="L22" s="11">
        <v>46266</v>
      </c>
      <c r="M22" s="11">
        <v>46270</v>
      </c>
      <c r="N22" s="11"/>
      <c r="O22" s="8" t="s">
        <v>43</v>
      </c>
      <c r="P22" s="8"/>
    </row>
    <row r="23" ht="30" customHeight="1" spans="1:16" x14ac:dyDescent="0.25">
      <c r="A23" s="8" t="s">
        <v>113</v>
      </c>
      <c r="B23" s="7" t="s">
        <v>117</v>
      </c>
      <c r="C23" s="8" t="s">
        <v>118</v>
      </c>
      <c r="D23" s="8" t="s">
        <v>119</v>
      </c>
      <c r="E23" s="8" t="s">
        <v>50</v>
      </c>
      <c r="F23" s="8" t="s">
        <v>68</v>
      </c>
      <c r="G23" s="8" t="s">
        <v>82</v>
      </c>
      <c r="H23" s="8" t="s">
        <v>82</v>
      </c>
      <c r="I23" s="8" t="s">
        <v>17</v>
      </c>
      <c r="J23" s="10">
        <v>0</v>
      </c>
      <c r="K23" s="8"/>
      <c r="L23" s="11">
        <v>46273</v>
      </c>
      <c r="M23" s="11">
        <v>46277</v>
      </c>
      <c r="N23" s="11"/>
      <c r="O23" s="8" t="s">
        <v>114</v>
      </c>
      <c r="P23" s="8"/>
    </row>
    <row r="24" ht="30" customHeight="1" spans="1:16" x14ac:dyDescent="0.25">
      <c r="A24" s="8" t="s">
        <v>113</v>
      </c>
      <c r="B24" s="7" t="s">
        <v>120</v>
      </c>
      <c r="C24" s="8" t="s">
        <v>121</v>
      </c>
      <c r="D24" s="8" t="s">
        <v>122</v>
      </c>
      <c r="E24" s="8" t="s">
        <v>50</v>
      </c>
      <c r="F24" s="8" t="s">
        <v>123</v>
      </c>
      <c r="G24" s="8" t="s">
        <v>82</v>
      </c>
      <c r="H24" s="8" t="s">
        <v>82</v>
      </c>
      <c r="I24" s="8" t="s">
        <v>17</v>
      </c>
      <c r="J24" s="10">
        <v>0</v>
      </c>
      <c r="K24" s="8"/>
      <c r="L24" s="11">
        <v>46280</v>
      </c>
      <c r="M24" s="11">
        <v>46291</v>
      </c>
      <c r="N24" s="11"/>
      <c r="O24" s="8" t="s">
        <v>117</v>
      </c>
      <c r="P24" s="8"/>
    </row>
    <row r="25" ht="30" customHeight="1" spans="1:16" x14ac:dyDescent="0.25">
      <c r="A25" s="8" t="s">
        <v>113</v>
      </c>
      <c r="B25" s="7" t="s">
        <v>124</v>
      </c>
      <c r="C25" s="8" t="s">
        <v>125</v>
      </c>
      <c r="D25" s="8" t="s">
        <v>126</v>
      </c>
      <c r="E25" s="8" t="s">
        <v>50</v>
      </c>
      <c r="F25" s="8" t="s">
        <v>68</v>
      </c>
      <c r="G25" s="8" t="s">
        <v>82</v>
      </c>
      <c r="H25" s="8" t="s">
        <v>82</v>
      </c>
      <c r="I25" s="8" t="s">
        <v>17</v>
      </c>
      <c r="J25" s="10">
        <v>0</v>
      </c>
      <c r="K25" s="8"/>
      <c r="L25" s="11">
        <v>46294</v>
      </c>
      <c r="M25" s="11">
        <v>46298</v>
      </c>
      <c r="N25" s="11"/>
      <c r="O25" s="8" t="s">
        <v>120</v>
      </c>
      <c r="P25" s="8"/>
    </row>
    <row r="26" ht="30" customHeight="1" spans="1:16" x14ac:dyDescent="0.25">
      <c r="A26" s="8" t="s">
        <v>113</v>
      </c>
      <c r="B26" s="7" t="s">
        <v>127</v>
      </c>
      <c r="C26" s="8" t="s">
        <v>128</v>
      </c>
      <c r="D26" s="8" t="s">
        <v>129</v>
      </c>
      <c r="E26" s="8" t="s">
        <v>50</v>
      </c>
      <c r="F26" s="8" t="s">
        <v>68</v>
      </c>
      <c r="G26" s="8" t="s">
        <v>82</v>
      </c>
      <c r="H26" s="8" t="s">
        <v>82</v>
      </c>
      <c r="I26" s="8" t="s">
        <v>17</v>
      </c>
      <c r="J26" s="10">
        <v>0</v>
      </c>
      <c r="K26" s="8"/>
      <c r="L26" s="11">
        <v>46301</v>
      </c>
      <c r="M26" s="11">
        <v>46305</v>
      </c>
      <c r="N26" s="11"/>
      <c r="O26" s="8" t="s">
        <v>120</v>
      </c>
      <c r="P26" s="8"/>
    </row>
    <row r="27" ht="30" customHeight="1" spans="1:16" x14ac:dyDescent="0.25">
      <c r="A27" s="8" t="s">
        <v>113</v>
      </c>
      <c r="B27" s="7" t="s">
        <v>130</v>
      </c>
      <c r="C27" s="8" t="s">
        <v>131</v>
      </c>
      <c r="D27" s="8" t="s">
        <v>132</v>
      </c>
      <c r="E27" s="8" t="s">
        <v>50</v>
      </c>
      <c r="F27" s="8" t="s">
        <v>68</v>
      </c>
      <c r="G27" s="8" t="s">
        <v>82</v>
      </c>
      <c r="H27" s="8" t="s">
        <v>82</v>
      </c>
      <c r="I27" s="8" t="s">
        <v>17</v>
      </c>
      <c r="J27" s="10">
        <v>0</v>
      </c>
      <c r="K27" s="8"/>
      <c r="L27" s="11">
        <v>46308</v>
      </c>
      <c r="M27" s="11">
        <v>46312</v>
      </c>
      <c r="N27" s="11"/>
      <c r="O27" s="8" t="s">
        <v>114</v>
      </c>
      <c r="P27" s="8"/>
    </row>
    <row r="28" ht="30" customHeight="1" spans="1:16" x14ac:dyDescent="0.25">
      <c r="A28" s="8" t="s">
        <v>113</v>
      </c>
      <c r="B28" s="7" t="s">
        <v>133</v>
      </c>
      <c r="C28" s="8" t="s">
        <v>134</v>
      </c>
      <c r="D28" s="8" t="s">
        <v>135</v>
      </c>
      <c r="E28" s="8" t="s">
        <v>50</v>
      </c>
      <c r="F28" s="8" t="s">
        <v>68</v>
      </c>
      <c r="G28" s="8" t="s">
        <v>82</v>
      </c>
      <c r="H28" s="8" t="s">
        <v>82</v>
      </c>
      <c r="I28" s="8" t="s">
        <v>17</v>
      </c>
      <c r="J28" s="10">
        <v>0</v>
      </c>
      <c r="K28" s="8"/>
      <c r="L28" s="11">
        <v>46315</v>
      </c>
      <c r="M28" s="11">
        <v>46319</v>
      </c>
      <c r="N28" s="11"/>
      <c r="O28" s="8" t="s">
        <v>117</v>
      </c>
      <c r="P28" s="8"/>
    </row>
    <row r="29" ht="30" customHeight="1" spans="1:16" x14ac:dyDescent="0.25">
      <c r="A29" s="8" t="s">
        <v>113</v>
      </c>
      <c r="B29" s="7" t="s">
        <v>136</v>
      </c>
      <c r="C29" s="8" t="s">
        <v>137</v>
      </c>
      <c r="D29" s="8" t="s">
        <v>138</v>
      </c>
      <c r="E29" s="8" t="s">
        <v>50</v>
      </c>
      <c r="F29" s="8" t="s">
        <v>68</v>
      </c>
      <c r="G29" s="8" t="s">
        <v>82</v>
      </c>
      <c r="H29" s="8" t="s">
        <v>82</v>
      </c>
      <c r="I29" s="8" t="s">
        <v>17</v>
      </c>
      <c r="J29" s="10">
        <v>0</v>
      </c>
      <c r="K29" s="8"/>
      <c r="L29" s="11"/>
      <c r="M29" s="11"/>
      <c r="N29" s="11"/>
      <c r="O29" s="8" t="s">
        <v>130</v>
      </c>
      <c r="P29" s="8"/>
    </row>
  </sheetData>
  <autoFilter ref="A1:P1"/>
  <conditionalFormatting sqref="M2:M23">
    <cfRule type="expression" dxfId="0" priority="1">
      <formula>AND($M2&lt;&gt;"",$M2&lt;TODAY(),$I2&lt;&gt;"Done")</formula>
    </cfRule>
  </conditionalFormatting>
  <dataValidations count="10">
    <dataValidation type="list" allowBlank="1" sqref="E10:E29">
      <formula1>"Ops,QA,Eng,Legal,UI,Product"</formula1>
    </dataValidation>
    <dataValidation type="list" allowBlank="1" sqref="E2:E29">
      <formula1>"Ops,QA,Eng,Legal,UI,Product"</formula1>
    </dataValidation>
    <dataValidation type="list" allowBlank="1" sqref="F10:F29">
      <formula1>"S,M,L,XL"</formula1>
    </dataValidation>
    <dataValidation type="list" allowBlank="1" sqref="F2:F29">
      <formula1>"S,M,L,XL"</formula1>
    </dataValidation>
    <dataValidation type="list" allowBlank="1" sqref="G10:G29">
      <formula1>"Yes,No"</formula1>
    </dataValidation>
    <dataValidation type="list" allowBlank="1" sqref="G2:G29">
      <formula1>"Yes,No"</formula1>
    </dataValidation>
    <dataValidation type="list" allowBlank="1" sqref="H10:H29">
      <formula1>"Yes,No,Fast-follow"</formula1>
    </dataValidation>
    <dataValidation type="list" allowBlank="1" sqref="H2:H29">
      <formula1>"Yes,No,Fast-follow"</formula1>
    </dataValidation>
    <dataValidation type="list" allowBlank="1" sqref="I10:I29">
      <formula1>"Not started,In progress,Blocked,Done"</formula1>
    </dataValidation>
    <dataValidation type="list" allowBlank="1" sqref="I2:I29">
      <formula1>"Not started,In progress,Blocked,Done"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2" customWidth="1"/>
    <col min="2" max="2" width="72" customWidth="1"/>
  </cols>
  <sheetData>
    <row r="1" ht="28" customHeight="1" spans="1:2" x14ac:dyDescent="0.25">
      <c r="A1" s="1" t="s">
        <v>139</v>
      </c>
      <c r="B1" s="1" t="s">
        <v>140</v>
      </c>
    </row>
    <row r="2" ht="24" customHeight="1" spans="1:2" x14ac:dyDescent="0.25">
      <c r="A2" s="14" t="s">
        <v>8</v>
      </c>
      <c r="B2" s="15" t="s">
        <v>141</v>
      </c>
    </row>
    <row r="3" ht="24" customHeight="1" spans="1:2" x14ac:dyDescent="0.25">
      <c r="A3" s="16" t="s">
        <v>142</v>
      </c>
      <c r="B3" s="8" t="s">
        <v>143</v>
      </c>
    </row>
    <row r="4" ht="24" customHeight="1" spans="1:2" x14ac:dyDescent="0.25">
      <c r="A4" s="7" t="s">
        <v>144</v>
      </c>
      <c r="B4" s="8" t="s">
        <v>145</v>
      </c>
    </row>
    <row r="5" ht="24" customHeight="1" spans="1:2" x14ac:dyDescent="0.25">
      <c r="A5" s="7" t="s">
        <v>146</v>
      </c>
      <c r="B5" s="8" t="s">
        <v>147</v>
      </c>
    </row>
    <row r="6" ht="24" customHeight="1" spans="1:2" x14ac:dyDescent="0.25">
      <c r="A6" s="7" t="s">
        <v>148</v>
      </c>
      <c r="B6" s="8" t="s">
        <v>149</v>
      </c>
    </row>
    <row r="7" ht="24" customHeight="1" spans="1:2" x14ac:dyDescent="0.25">
      <c r="A7" s="7" t="s">
        <v>150</v>
      </c>
      <c r="B7" s="8" t="s">
        <v>151</v>
      </c>
    </row>
    <row r="8" ht="24" customHeight="1" spans="1:2" x14ac:dyDescent="0.25">
      <c r="A8" s="7" t="s">
        <v>6</v>
      </c>
      <c r="B8" s="8" t="s">
        <v>152</v>
      </c>
    </row>
    <row r="9" ht="24" customHeight="1" spans="1:2" x14ac:dyDescent="0.25">
      <c r="A9" s="7" t="s">
        <v>153</v>
      </c>
      <c r="B9" s="8" t="s">
        <v>154</v>
      </c>
    </row>
    <row r="10" ht="24" customHeight="1" spans="1:2" x14ac:dyDescent="0.25">
      <c r="A10" s="7" t="s">
        <v>12</v>
      </c>
      <c r="B10" s="8" t="s">
        <v>155</v>
      </c>
    </row>
    <row r="11" ht="24" customHeight="1" spans="1:2" x14ac:dyDescent="0.25">
      <c r="A11" s="7" t="s">
        <v>15</v>
      </c>
      <c r="B11" s="8" t="s">
        <v>156</v>
      </c>
    </row>
    <row r="12" ht="24" customHeight="1" spans="1:2" x14ac:dyDescent="0.25">
      <c r="A12" s="7" t="s">
        <v>19</v>
      </c>
      <c r="B12" s="8" t="s">
        <v>157</v>
      </c>
    </row>
    <row r="13" ht="24" customHeight="1" spans="1:2" x14ac:dyDescent="0.25">
      <c r="A13" s="7" t="s">
        <v>158</v>
      </c>
      <c r="B13" s="8" t="s">
        <v>159</v>
      </c>
    </row>
    <row r="14" ht="24" customHeight="1" spans="1:2" x14ac:dyDescent="0.25">
      <c r="A14" s="7" t="s">
        <v>160</v>
      </c>
      <c r="B14" s="8" t="s">
        <v>161</v>
      </c>
    </row>
    <row r="15" ht="24" customHeight="1" spans="1:2" x14ac:dyDescent="0.25">
      <c r="A15" s="7" t="s">
        <v>162</v>
      </c>
      <c r="B15" s="8" t="s">
        <v>163</v>
      </c>
    </row>
    <row r="16" ht="24" customHeight="1" spans="1:2" x14ac:dyDescent="0.25">
      <c r="A16" s="7" t="s">
        <v>164</v>
      </c>
      <c r="B16" s="8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Milestones</vt:lpstr>
      <vt:lpstr>Tasks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LegacyNest</dc:creator>
  <dc:title/>
  <dc:subject/>
  <dc:description/>
  <cp:keywords/>
  <cp:category/>
  <cp:lastModifiedBy>Unknown</cp:lastModifiedBy>
  <dcterms:created xsi:type="dcterms:W3CDTF">2026-06-28T19:46:36Z</dcterms:created>
  <dcterms:modified xsi:type="dcterms:W3CDTF">2026-06-28T19:46:36Z</dcterms:modified>
</cp:coreProperties>
</file>